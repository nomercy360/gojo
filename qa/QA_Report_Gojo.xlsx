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  <sheet name="Сводка" sheetId="2" state="visible" r:id="rId2"/>
    <sheet name="Замечания" sheetId="3" state="visible" r:id="rId3"/>
  </sheets>
  <definedNames>
    <definedName name="_xlnm._FilterDatabase" localSheetId="0" hidden="1">'Тест-кейсы'!$A$3:$I$49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1" pivotButton="0" quotePrefix="0" xfId="0"/>
    <xf numFmtId="0" fontId="4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6" customWidth="1" min="3" max="3"/>
    <col width="34" customWidth="1" min="4" max="4"/>
    <col width="24" customWidth="1" min="5" max="5"/>
    <col width="22" customWidth="1" min="6" max="6"/>
    <col width="9" customWidth="1" min="7" max="7"/>
    <col width="9" customWidth="1" min="8" max="8"/>
    <col width="42" customWidth="1" min="9" max="9"/>
  </cols>
  <sheetData>
    <row r="1" ht="24" customHeight="1">
      <c r="A1" s="1" t="inlineStr">
        <is>
          <t>Gojo Learn — QA тест-кейсы и результаты</t>
        </is>
      </c>
    </row>
    <row r="2">
      <c r="A2" s="2" t="inlineStr">
        <is>
          <t>Дата: 2026-07-10 · Окружение: локальное (Docker infra + dev api/web) · Тестировщик: QA Manager (Claude) · Раунд 2: после фиксов F-01…F-04</t>
        </is>
      </c>
    </row>
    <row r="3">
      <c r="A3" s="3" t="inlineStr">
        <is>
          <t>ID</t>
        </is>
      </c>
      <c r="B3" s="3" t="inlineStr">
        <is>
          <t>Область</t>
        </is>
      </c>
      <c r="C3" s="3" t="inlineStr">
        <is>
          <t>Что проверяем</t>
        </is>
      </c>
      <c r="D3" s="3" t="inlineStr">
        <is>
          <t>Шаги / запрос</t>
        </is>
      </c>
      <c r="E3" s="3" t="inlineStr">
        <is>
          <t>Ожидаемо</t>
        </is>
      </c>
      <c r="F3" s="3" t="inlineStr">
        <is>
          <t>Фактически</t>
        </is>
      </c>
      <c r="G3" s="3" t="inlineStr">
        <is>
          <t>Статус</t>
        </is>
      </c>
      <c r="H3" s="3" t="inlineStr">
        <is>
          <t>Приоритет</t>
        </is>
      </c>
      <c r="I3" s="3" t="inlineStr">
        <is>
          <t>Комментарий</t>
        </is>
      </c>
    </row>
    <row r="4">
      <c r="A4" s="4" t="inlineStr">
        <is>
          <t>TC-01</t>
        </is>
      </c>
      <c r="B4" s="4" t="inlineStr">
        <is>
          <t>Auth</t>
        </is>
      </c>
      <c r="C4" s="4" t="inlineStr">
        <is>
          <t>Вход с верным паролем</t>
        </is>
      </c>
      <c r="D4" s="4" t="inlineStr">
        <is>
          <t>POST /auth/sign-in/email, student.test / dev-password-123</t>
        </is>
      </c>
      <c r="E4" s="4" t="inlineStr">
        <is>
          <t>200 + сессия</t>
        </is>
      </c>
      <c r="F4" s="4" t="inlineStr">
        <is>
          <t>200</t>
        </is>
      </c>
      <c r="G4" s="5" t="inlineStr">
        <is>
          <t>PASS</t>
        </is>
      </c>
      <c r="H4" s="4" t="inlineStr">
        <is>
          <t>High</t>
        </is>
      </c>
      <c r="I4" s="4" t="inlineStr">
        <is>
          <t>Базовый happy-path логина.</t>
        </is>
      </c>
    </row>
    <row r="5">
      <c r="A5" s="4" t="inlineStr">
        <is>
          <t>TC-02</t>
        </is>
      </c>
      <c r="B5" s="4" t="inlineStr">
        <is>
          <t>Auth</t>
        </is>
      </c>
      <c r="C5" s="4" t="inlineStr">
        <is>
          <t>Вход с неверным паролем</t>
        </is>
      </c>
      <c r="D5" s="4" t="inlineStr">
        <is>
          <t>POST /auth/sign-in/email, wrongpass123</t>
        </is>
      </c>
      <c r="E5" s="4" t="inlineStr">
        <is>
          <t>401</t>
        </is>
      </c>
      <c r="F5" s="4" t="inlineStr">
        <is>
          <t>401</t>
        </is>
      </c>
      <c r="G5" s="5" t="inlineStr">
        <is>
          <t>PASS</t>
        </is>
      </c>
      <c r="H5" s="4" t="inlineStr">
        <is>
          <t>High</t>
        </is>
      </c>
      <c r="I5" s="4" t="inlineStr">
        <is>
          <t>Негативный кейс, корректно отклоняется.</t>
        </is>
      </c>
    </row>
    <row r="6">
      <c r="A6" s="4" t="inlineStr">
        <is>
          <t>TC-03</t>
        </is>
      </c>
      <c r="B6" s="4" t="inlineStr">
        <is>
          <t>Auth/Roles</t>
        </is>
      </c>
      <c r="C6" s="4" t="inlineStr">
        <is>
          <t>Enum роли только student/admin</t>
        </is>
      </c>
      <c r="D6" s="4" t="inlineStr">
        <is>
          <t>Проверка миграции 0013 в БД</t>
        </is>
      </c>
      <c r="E6" s="4" t="inlineStr">
        <is>
          <t>enum = {student, admin}</t>
        </is>
      </c>
      <c r="F6" s="4" t="inlineStr">
        <is>
          <t>student, admin</t>
        </is>
      </c>
      <c r="G6" s="5" t="inlineStr">
        <is>
          <t>PASS</t>
        </is>
      </c>
      <c r="H6" s="4" t="inlineStr">
        <is>
          <t>High</t>
        </is>
      </c>
      <c r="I6" s="4" t="inlineStr">
        <is>
          <t>Роль teacher удалена, миграция применена без потери данных.</t>
        </is>
      </c>
    </row>
    <row r="7">
      <c r="A7" s="4" t="inlineStr">
        <is>
          <t>TC-04</t>
        </is>
      </c>
      <c r="B7" s="4" t="inlineStr">
        <is>
          <t>Auth/Roles</t>
        </is>
      </c>
      <c r="C7" s="4" t="inlineStr">
        <is>
          <t>teacher→admin при миграции</t>
        </is>
      </c>
      <c r="D7" s="4" t="inlineStr">
        <is>
          <t>UPDATE role='admin' WHERE role='teacher'</t>
        </is>
      </c>
      <c r="E7" s="4" t="inlineStr">
        <is>
          <t>0 записей teacher</t>
        </is>
      </c>
      <c r="F7" s="4" t="inlineStr">
        <is>
          <t>0</t>
        </is>
      </c>
      <c r="G7" s="5" t="inlineStr">
        <is>
          <t>PASS</t>
        </is>
      </c>
      <c r="H7" s="4" t="inlineStr">
        <is>
          <t>Med</t>
        </is>
      </c>
      <c r="I7" s="4" t="inlineStr">
        <is>
          <t>Ретро-конверсия отработала (проверено на сид-препод).</t>
        </is>
      </c>
    </row>
    <row r="8">
      <c r="A8" s="4" t="inlineStr">
        <is>
          <t>TC-05</t>
        </is>
      </c>
      <c r="B8" s="4" t="inlineStr">
        <is>
          <t>Roles</t>
        </is>
      </c>
      <c r="C8" s="4" t="inlineStr">
        <is>
          <t>Гость не видит /admin/summary</t>
        </is>
      </c>
      <c r="D8" s="4" t="inlineStr">
        <is>
          <t>GET /admin/summary без cookie</t>
        </is>
      </c>
      <c r="E8" s="4" t="inlineStr">
        <is>
          <t>401/403</t>
        </is>
      </c>
      <c r="F8" s="4" t="inlineStr">
        <is>
          <t>401</t>
        </is>
      </c>
      <c r="G8" s="5" t="inlineStr">
        <is>
          <t>PASS</t>
        </is>
      </c>
      <c r="H8" s="4" t="inlineStr">
        <is>
          <t>High</t>
        </is>
      </c>
      <c r="I8" s="4" t="inlineStr">
        <is>
          <t>Требуется авторизация.</t>
        </is>
      </c>
    </row>
    <row r="9">
      <c r="A9" s="4" t="inlineStr">
        <is>
          <t>TC-06</t>
        </is>
      </c>
      <c r="B9" s="4" t="inlineStr">
        <is>
          <t>Roles</t>
        </is>
      </c>
      <c r="C9" s="4" t="inlineStr">
        <is>
          <t>Студент не видит /admin/summary</t>
        </is>
      </c>
      <c r="D9" s="4" t="inlineStr">
        <is>
          <t>GET /admin/summary (student)</t>
        </is>
      </c>
      <c r="E9" s="4" t="inlineStr">
        <is>
          <t>403</t>
        </is>
      </c>
      <c r="F9" s="4" t="inlineStr">
        <is>
          <t>403</t>
        </is>
      </c>
      <c r="G9" s="5" t="inlineStr">
        <is>
          <t>PASS</t>
        </is>
      </c>
      <c r="H9" s="4" t="inlineStr">
        <is>
          <t>Crit</t>
        </is>
      </c>
      <c r="I9" s="4" t="inlineStr">
        <is>
          <t>Разграничение доступа админ-панели.</t>
        </is>
      </c>
    </row>
    <row r="10">
      <c r="A10" s="4" t="inlineStr">
        <is>
          <t>TC-07</t>
        </is>
      </c>
      <c r="B10" s="4" t="inlineStr">
        <is>
          <t>Roles</t>
        </is>
      </c>
      <c r="C10" s="4" t="inlineStr">
        <is>
          <t>Админ видит /admin/summary</t>
        </is>
      </c>
      <c r="D10" s="4" t="inlineStr">
        <is>
          <t>GET /admin/summary (admin)</t>
        </is>
      </c>
      <c r="E10" s="4" t="inlineStr">
        <is>
          <t>200</t>
        </is>
      </c>
      <c r="F10" s="4" t="inlineStr">
        <is>
          <t>200</t>
        </is>
      </c>
      <c r="G10" s="5" t="inlineStr">
        <is>
          <t>PASS</t>
        </is>
      </c>
      <c r="H10" s="4" t="inlineStr">
        <is>
          <t>High</t>
        </is>
      </c>
      <c r="I10" s="4" t="inlineStr">
        <is>
          <t>Админ имеет доступ.</t>
        </is>
      </c>
    </row>
    <row r="11">
      <c r="A11" s="4" t="inlineStr">
        <is>
          <t>TC-08</t>
        </is>
      </c>
      <c r="B11" s="4" t="inlineStr">
        <is>
          <t>Roles</t>
        </is>
      </c>
      <c r="C11" s="4" t="inlineStr">
        <is>
          <t>Студент не видит /teacher/students</t>
        </is>
      </c>
      <c r="D11" s="4" t="inlineStr">
        <is>
          <t>GET /teacher/students (student)</t>
        </is>
      </c>
      <c r="E11" s="4" t="inlineStr">
        <is>
          <t>403</t>
        </is>
      </c>
      <c r="F11" s="4" t="inlineStr">
        <is>
          <t>403</t>
        </is>
      </c>
      <c r="G11" s="5" t="inlineStr">
        <is>
          <t>PASS</t>
        </is>
      </c>
      <c r="H11" s="4" t="inlineStr">
        <is>
          <t>Crit</t>
        </is>
      </c>
      <c r="I11" s="4" t="inlineStr">
        <is>
          <t>requireTeacher теперь = только admin.</t>
        </is>
      </c>
    </row>
    <row r="12">
      <c r="A12" s="4" t="inlineStr">
        <is>
          <t>TC-09</t>
        </is>
      </c>
      <c r="B12" s="4" t="inlineStr">
        <is>
          <t>Roles</t>
        </is>
      </c>
      <c r="C12" s="4" t="inlineStr">
        <is>
          <t>Админ видит /teacher/students</t>
        </is>
      </c>
      <c r="D12" s="4" t="inlineStr">
        <is>
          <t>GET /teacher/students (admin)</t>
        </is>
      </c>
      <c r="E12" s="4" t="inlineStr">
        <is>
          <t>200</t>
        </is>
      </c>
      <c r="F12" s="4" t="inlineStr">
        <is>
          <t>200</t>
        </is>
      </c>
      <c r="G12" s="5" t="inlineStr">
        <is>
          <t>PASS</t>
        </is>
      </c>
      <c r="H12" s="4" t="inlineStr">
        <is>
          <t>High</t>
        </is>
      </c>
      <c r="I12" s="4" t="inlineStr"/>
    </row>
    <row r="13">
      <c r="A13" s="4" t="inlineStr">
        <is>
          <t>TC-10</t>
        </is>
      </c>
      <c r="B13" s="4" t="inlineStr">
        <is>
          <t>Roles</t>
        </is>
      </c>
      <c r="C13" s="4" t="inlineStr">
        <is>
          <t>Студент не создаёт урок</t>
        </is>
      </c>
      <c r="D13" s="4" t="inlineStr">
        <is>
          <t>POST /teacher/lessons (student)</t>
        </is>
      </c>
      <c r="E13" s="4" t="inlineStr">
        <is>
          <t>403</t>
        </is>
      </c>
      <c r="F13" s="4" t="inlineStr">
        <is>
          <t>403</t>
        </is>
      </c>
      <c r="G13" s="5" t="inlineStr">
        <is>
          <t>PASS</t>
        </is>
      </c>
      <c r="H13" s="4" t="inlineStr">
        <is>
          <t>Crit</t>
        </is>
      </c>
      <c r="I13" s="4" t="inlineStr">
        <is>
          <t>teacher-роут защищён.</t>
        </is>
      </c>
    </row>
    <row r="14">
      <c r="A14" s="4" t="inlineStr">
        <is>
          <t>TC-11</t>
        </is>
      </c>
      <c r="B14" s="4" t="inlineStr">
        <is>
          <t>Payments</t>
        </is>
      </c>
      <c r="C14" s="4" t="inlineStr">
        <is>
          <t>Провижн студента без planId</t>
        </is>
      </c>
      <c r="D14" s="4" t="inlineStr">
        <is>
          <t>POST /admin/students без planId</t>
        </is>
      </c>
      <c r="E14" s="4" t="inlineStr">
        <is>
          <t>400</t>
        </is>
      </c>
      <c r="F14" s="4" t="inlineStr">
        <is>
          <t>400</t>
        </is>
      </c>
      <c r="G14" s="5" t="inlineStr">
        <is>
          <t>PASS</t>
        </is>
      </c>
      <c r="H14" s="4" t="inlineStr">
        <is>
          <t>High</t>
        </is>
      </c>
      <c r="I14" s="4" t="inlineStr">
        <is>
          <t>Валидация обязательности тарифа.</t>
        </is>
      </c>
    </row>
    <row r="15">
      <c r="A15" s="4" t="inlineStr">
        <is>
          <t>TC-12</t>
        </is>
      </c>
      <c r="B15" s="4" t="inlineStr">
        <is>
          <t>Payments</t>
        </is>
      </c>
      <c r="C15" s="4" t="inlineStr">
        <is>
          <t>Провижн с несуществующим planId</t>
        </is>
      </c>
      <c r="D15" s="4" t="inlineStr">
        <is>
          <t>POST /admin/students planId=nonexistent</t>
        </is>
      </c>
      <c r="E15" s="4" t="inlineStr">
        <is>
          <t>400 'unknown plan'</t>
        </is>
      </c>
      <c r="F15" s="4" t="inlineStr">
        <is>
          <t>400</t>
        </is>
      </c>
      <c r="G15" s="5" t="inlineStr">
        <is>
          <t>PASS</t>
        </is>
      </c>
      <c r="H15" s="4" t="inlineStr">
        <is>
          <t>High</t>
        </is>
      </c>
      <c r="I15" s="4" t="inlineStr">
        <is>
          <t>Проверка whitelisted-планов.</t>
        </is>
      </c>
    </row>
    <row r="16">
      <c r="A16" s="4" t="inlineStr">
        <is>
          <t>TC-13</t>
        </is>
      </c>
      <c r="B16" s="4" t="inlineStr">
        <is>
          <t>Payments</t>
        </is>
      </c>
      <c r="C16" s="4" t="inlineStr">
        <is>
          <t>Назначение неизвестного плана</t>
        </is>
      </c>
      <c r="D16" s="4" t="inlineStr">
        <is>
          <t>PATCH /teacher/students/:id/plan fake-plan</t>
        </is>
      </c>
      <c r="E16" s="4" t="inlineStr">
        <is>
          <t>400</t>
        </is>
      </c>
      <c r="F16" s="4" t="inlineStr">
        <is>
          <t>400</t>
        </is>
      </c>
      <c r="G16" s="5" t="inlineStr">
        <is>
          <t>PASS</t>
        </is>
      </c>
      <c r="H16" s="4" t="inlineStr">
        <is>
          <t>Med</t>
        </is>
      </c>
      <c r="I16" s="4" t="inlineStr"/>
    </row>
    <row r="17">
      <c r="A17" s="4" t="inlineStr">
        <is>
          <t>TC-14</t>
        </is>
      </c>
      <c r="B17" s="4" t="inlineStr">
        <is>
          <t>Payments</t>
        </is>
      </c>
      <c r="C17" s="4" t="inlineStr">
        <is>
          <t>Студент назначает себе план (эскалация)</t>
        </is>
      </c>
      <c r="D17" s="4" t="inlineStr">
        <is>
          <t>PATCH .../plan (student)</t>
        </is>
      </c>
      <c r="E17" s="4" t="inlineStr">
        <is>
          <t>403</t>
        </is>
      </c>
      <c r="F17" s="4" t="inlineStr">
        <is>
          <t>403</t>
        </is>
      </c>
      <c r="G17" s="5" t="inlineStr">
        <is>
          <t>PASS</t>
        </is>
      </c>
      <c r="H17" s="4" t="inlineStr">
        <is>
          <t>Crit</t>
        </is>
      </c>
      <c r="I17" s="4" t="inlineStr">
        <is>
          <t>Защита от privilege escalation.</t>
        </is>
      </c>
    </row>
    <row r="18">
      <c r="A18" s="4" t="inlineStr">
        <is>
          <t>TC-15</t>
        </is>
      </c>
      <c r="B18" s="4" t="inlineStr">
        <is>
          <t>Payments</t>
        </is>
      </c>
      <c r="C18" s="4" t="inlineStr">
        <is>
          <t>payments/me со студентом с тарифом</t>
        </is>
      </c>
      <c r="D18" s="4" t="inlineStr">
        <is>
          <t>GET /payments/me (student2)</t>
        </is>
      </c>
      <c r="E18" s="4" t="inlineStr">
        <is>
          <t>assignedPlan=monthly-standard</t>
        </is>
      </c>
      <c r="F18" s="4" t="inlineStr">
        <is>
          <t>OK</t>
        </is>
      </c>
      <c r="G18" s="5" t="inlineStr">
        <is>
          <t>PASS</t>
        </is>
      </c>
      <c r="H18" s="4" t="inlineStr">
        <is>
          <t>High</t>
        </is>
      </c>
      <c r="I18" s="4" t="inlineStr">
        <is>
          <t>Тариф корректно отдаётся.</t>
        </is>
      </c>
    </row>
    <row r="19">
      <c r="A19" s="4" t="inlineStr">
        <is>
          <t>TC-16</t>
        </is>
      </c>
      <c r="B19" s="4" t="inlineStr">
        <is>
          <t>Payments</t>
        </is>
      </c>
      <c r="C19" s="4" t="inlineStr">
        <is>
          <t>payments/me студент без тарифа</t>
        </is>
      </c>
      <c r="D19" s="4" t="inlineStr">
        <is>
          <t>GET /payments/me (student1)</t>
        </is>
      </c>
      <c r="E19" s="4" t="inlineStr">
        <is>
          <t>assignedPlan=null</t>
        </is>
      </c>
      <c r="F19" s="4" t="inlineStr">
        <is>
          <t>null</t>
        </is>
      </c>
      <c r="G19" s="5" t="inlineStr">
        <is>
          <t>PASS</t>
        </is>
      </c>
      <c r="H19" s="4" t="inlineStr">
        <is>
          <t>High</t>
        </is>
      </c>
      <c r="I19" s="4" t="inlineStr">
        <is>
          <t>Фолбэк 'план не назначен'.</t>
        </is>
      </c>
    </row>
    <row r="20">
      <c r="A20" s="4" t="inlineStr">
        <is>
          <t>TC-17</t>
        </is>
      </c>
      <c r="B20" s="4" t="inlineStr">
        <is>
          <t>Payments</t>
        </is>
      </c>
      <c r="C20" s="4" t="inlineStr">
        <is>
          <t>Checkout чужого плана</t>
        </is>
      </c>
      <c r="D20" s="4" t="inlineStr">
        <is>
          <t>POST /payments/checkout bundle-8 (assigned=monthly)</t>
        </is>
      </c>
      <c r="E20" s="4" t="inlineStr">
        <is>
          <t>403 или 503</t>
        </is>
      </c>
      <c r="F20" s="4" t="inlineStr">
        <is>
          <t>503*</t>
        </is>
      </c>
      <c r="G20" s="6" t="inlineStr">
        <is>
          <t>PARTIAL</t>
        </is>
      </c>
      <c r="H20" s="4" t="inlineStr">
        <is>
          <t>High</t>
        </is>
      </c>
      <c r="I20" s="4" t="inlineStr">
        <is>
          <t>YooKassa не сконфигурирован (503) срабатывает РАНЬШЕ проверки плана. С кредами ранее давал 403 — см. Замечание F-05.</t>
        </is>
      </c>
    </row>
    <row r="21">
      <c r="A21" s="4" t="inlineStr">
        <is>
          <t>TC-18</t>
        </is>
      </c>
      <c r="B21" s="4" t="inlineStr">
        <is>
          <t>Payments</t>
        </is>
      </c>
      <c r="C21" s="4" t="inlineStr">
        <is>
          <t>Checkout админом</t>
        </is>
      </c>
      <c r="D21" s="4" t="inlineStr">
        <is>
          <t>POST /payments/checkout (admin)</t>
        </is>
      </c>
      <c r="E21" s="4" t="inlineStr">
        <is>
          <t>403 only students</t>
        </is>
      </c>
      <c r="F21" s="4" t="inlineStr">
        <is>
          <t>403</t>
        </is>
      </c>
      <c r="G21" s="5" t="inlineStr">
        <is>
          <t>PASS</t>
        </is>
      </c>
      <c r="H21" s="4" t="inlineStr">
        <is>
          <t>Med</t>
        </is>
      </c>
      <c r="I21" s="4" t="inlineStr"/>
    </row>
    <row r="22">
      <c r="A22" s="4" t="inlineStr">
        <is>
          <t>TC-19</t>
        </is>
      </c>
      <c r="B22" s="4" t="inlineStr">
        <is>
          <t>Payments</t>
        </is>
      </c>
      <c r="C22" s="4" t="inlineStr">
        <is>
          <t>payments/plans публичный</t>
        </is>
      </c>
      <c r="D22" s="4" t="inlineStr">
        <is>
          <t>GET /payments/plans без auth</t>
        </is>
      </c>
      <c r="E22" s="4" t="inlineStr">
        <is>
          <t>200</t>
        </is>
      </c>
      <c r="F22" s="4" t="inlineStr">
        <is>
          <t>200</t>
        </is>
      </c>
      <c r="G22" s="5" t="inlineStr">
        <is>
          <t>PASS</t>
        </is>
      </c>
      <c r="H22" s="4" t="inlineStr">
        <is>
          <t>Low</t>
        </is>
      </c>
      <c r="I22" s="4" t="inlineStr">
        <is>
          <t>Каталог тарифов публичен — ок.</t>
        </is>
      </c>
    </row>
    <row r="23">
      <c r="A23" s="4" t="inlineStr">
        <is>
          <t>TC-20</t>
        </is>
      </c>
      <c r="B23" s="4" t="inlineStr">
        <is>
          <t>Library</t>
        </is>
      </c>
      <c r="C23" s="4" t="inlineStr">
        <is>
          <t>my-recordings без auth</t>
        </is>
      </c>
      <c r="D23" s="4" t="inlineStr">
        <is>
          <t>GET /lessons/my-recordings</t>
        </is>
      </c>
      <c r="E23" s="4" t="inlineStr">
        <is>
          <t>401</t>
        </is>
      </c>
      <c r="F23" s="4" t="inlineStr">
        <is>
          <t>401</t>
        </is>
      </c>
      <c r="G23" s="5" t="inlineStr">
        <is>
          <t>PASS</t>
        </is>
      </c>
      <c r="H23" s="4" t="inlineStr">
        <is>
          <t>High</t>
        </is>
      </c>
      <c r="I23" s="4" t="inlineStr">
        <is>
          <t>Список записей защищён.</t>
        </is>
      </c>
    </row>
    <row r="24">
      <c r="A24" s="4" t="inlineStr">
        <is>
          <t>TC-21</t>
        </is>
      </c>
      <c r="B24" s="4" t="inlineStr">
        <is>
          <t>Library</t>
        </is>
      </c>
      <c r="C24" s="4" t="inlineStr">
        <is>
          <t>my-recordings студент с записью</t>
        </is>
      </c>
      <c r="D24" s="4" t="inlineStr">
        <is>
          <t>GET (student2)</t>
        </is>
      </c>
      <c r="E24" s="4" t="inlineStr">
        <is>
          <t>1 запись N5</t>
        </is>
      </c>
      <c r="F24" s="4" t="inlineStr">
        <is>
          <t>1 запись</t>
        </is>
      </c>
      <c r="G24" s="5" t="inlineStr">
        <is>
          <t>PASS</t>
        </is>
      </c>
      <c r="H24" s="4" t="inlineStr">
        <is>
          <t>High</t>
        </is>
      </c>
      <c r="I24" s="4" t="inlineStr">
        <is>
          <t>Библиотека отдаёт реальную запись.</t>
        </is>
      </c>
    </row>
    <row r="25">
      <c r="A25" s="4" t="inlineStr">
        <is>
          <t>TC-22</t>
        </is>
      </c>
      <c r="B25" s="4" t="inlineStr">
        <is>
          <t>Library</t>
        </is>
      </c>
      <c r="C25" s="4" t="inlineStr">
        <is>
          <t>my-recordings студент без записей</t>
        </is>
      </c>
      <c r="D25" s="4" t="inlineStr">
        <is>
          <t>GET (student1)</t>
        </is>
      </c>
      <c r="E25" s="4" t="inlineStr">
        <is>
          <t>[] пусто</t>
        </is>
      </c>
      <c r="F25" s="4" t="inlineStr">
        <is>
          <t>[]</t>
        </is>
      </c>
      <c r="G25" s="5" t="inlineStr">
        <is>
          <t>PASS</t>
        </is>
      </c>
      <c r="H25" s="4" t="inlineStr">
        <is>
          <t>High</t>
        </is>
      </c>
      <c r="I25" s="4" t="inlineStr">
        <is>
          <t>Пустое состояние → плейсхолдер на дашборде.</t>
        </is>
      </c>
    </row>
    <row r="26">
      <c r="A26" s="4" t="inlineStr">
        <is>
          <t>TC-23</t>
        </is>
      </c>
      <c r="B26" s="4" t="inlineStr">
        <is>
          <t>Library</t>
        </is>
      </c>
      <c r="C26" s="4" t="inlineStr">
        <is>
          <t>Открытие записи → плеер</t>
        </is>
      </c>
      <c r="D26" s="4" t="inlineStr">
        <is>
          <t>Дашборд→Библиотека→урок</t>
        </is>
      </c>
      <c r="E26" s="4" t="inlineStr">
        <is>
          <t>video играет</t>
        </is>
      </c>
      <c r="F26" s="4" t="inlineStr">
        <is>
          <t>играет</t>
        </is>
      </c>
      <c r="G26" s="5" t="inlineStr">
        <is>
          <t>PASS</t>
        </is>
      </c>
      <c r="H26" s="4" t="inlineStr">
        <is>
          <t>High</t>
        </is>
      </c>
      <c r="I26" s="4" t="inlineStr">
        <is>
          <t>hero.mp4 (2.97MB) реально в Minio, плеер работает.</t>
        </is>
      </c>
    </row>
    <row r="27">
      <c r="A27" s="4" t="inlineStr">
        <is>
          <t>TC-24</t>
        </is>
      </c>
      <c r="B27" s="4" t="inlineStr">
        <is>
          <t>Library</t>
        </is>
      </c>
      <c r="C27" s="4" t="inlineStr">
        <is>
          <t>Файл записи в Minio</t>
        </is>
      </c>
      <c r="D27" s="4" t="inlineStr">
        <is>
          <t>GET прямой URL .mp4</t>
        </is>
      </c>
      <c r="E27" s="4" t="inlineStr">
        <is>
          <t>200, размер совпал</t>
        </is>
      </c>
      <c r="F27" s="4" t="inlineStr">
        <is>
          <t>200 / 2974237 б</t>
        </is>
      </c>
      <c r="G27" s="5" t="inlineStr">
        <is>
          <t>PASS</t>
        </is>
      </c>
      <c r="H27" s="4" t="inlineStr">
        <is>
          <t>High</t>
        </is>
      </c>
      <c r="I27" s="4" t="inlineStr">
        <is>
          <t>Байт-в-байт с исходником.</t>
        </is>
      </c>
    </row>
    <row r="28">
      <c r="A28" s="4" t="inlineStr">
        <is>
          <t>TC-25</t>
        </is>
      </c>
      <c r="B28" s="4" t="inlineStr">
        <is>
          <t>Profile</t>
        </is>
      </c>
      <c r="C28" s="4" t="inlineStr">
        <is>
          <t>Редактирование имя/фамилия</t>
        </is>
      </c>
      <c r="D28" s="4" t="inlineStr">
        <is>
          <t>PATCH /users/me name</t>
        </is>
      </c>
      <c r="E28" s="4" t="inlineStr">
        <is>
          <t>200 + сохранение</t>
        </is>
      </c>
      <c r="F28" s="4" t="inlineStr">
        <is>
          <t>200</t>
        </is>
      </c>
      <c r="G28" s="5" t="inlineStr">
        <is>
          <t>PASS</t>
        </is>
      </c>
      <c r="H28" s="4" t="inlineStr">
        <is>
          <t>High</t>
        </is>
      </c>
      <c r="I28" s="4" t="inlineStr">
        <is>
          <t>Имя разбивается/склеивается корректно.</t>
        </is>
      </c>
    </row>
    <row r="29">
      <c r="A29" s="4" t="inlineStr">
        <is>
          <t>TC-26</t>
        </is>
      </c>
      <c r="B29" s="4" t="inlineStr">
        <is>
          <t>Profile</t>
        </is>
      </c>
      <c r="C29" s="4" t="inlineStr">
        <is>
          <t>Имя &gt;200 символов</t>
        </is>
      </c>
      <c r="D29" s="4" t="inlineStr">
        <is>
          <t>PATCH name=201 симв.</t>
        </is>
      </c>
      <c r="E29" s="4" t="inlineStr">
        <is>
          <t>400</t>
        </is>
      </c>
      <c r="F29" s="4" t="inlineStr">
        <is>
          <t>400</t>
        </is>
      </c>
      <c r="G29" s="5" t="inlineStr">
        <is>
          <t>PASS</t>
        </is>
      </c>
      <c r="H29" s="4" t="inlineStr">
        <is>
          <t>Med</t>
        </is>
      </c>
      <c r="I29" s="4" t="inlineStr">
        <is>
          <t>Валидация длины.</t>
        </is>
      </c>
    </row>
    <row r="30">
      <c r="A30" s="4" t="inlineStr">
        <is>
          <t>TC-27</t>
        </is>
      </c>
      <c r="B30" s="4" t="inlineStr">
        <is>
          <t>Profile</t>
        </is>
      </c>
      <c r="C30" s="4" t="inlineStr">
        <is>
          <t>Редирект на дашборд после сохранения</t>
        </is>
      </c>
      <c r="D30" s="4" t="inlineStr">
        <is>
          <t>UI: Сохранить изменения</t>
        </is>
      </c>
      <c r="E30" s="4" t="inlineStr">
        <is>
          <t>→ /dashboard</t>
        </is>
      </c>
      <c r="F30" s="4" t="inlineStr">
        <is>
          <t>→ /dashboard</t>
        </is>
      </c>
      <c r="G30" s="5" t="inlineStr">
        <is>
          <t>PASS</t>
        </is>
      </c>
      <c r="H30" s="4" t="inlineStr">
        <is>
          <t>Med</t>
        </is>
      </c>
      <c r="I30" s="4" t="inlineStr">
        <is>
          <t>redirect('/dashboard') отрабатывает.</t>
        </is>
      </c>
    </row>
    <row r="31">
      <c r="A31" s="4" t="inlineStr">
        <is>
          <t>TC-28</t>
        </is>
      </c>
      <c r="B31" s="4" t="inlineStr">
        <is>
          <t>Profile</t>
        </is>
      </c>
      <c r="C31" s="4" t="inlineStr">
        <is>
          <t>Тост 'Профиль сохранён'</t>
        </is>
      </c>
      <c r="D31" s="4" t="inlineStr">
        <is>
          <t>UI после сохранения</t>
        </is>
      </c>
      <c r="E31" s="4" t="inlineStr">
        <is>
          <t>показать тост</t>
        </is>
      </c>
      <c r="F31" s="4" t="inlineStr">
        <is>
          <t>показан на /dashboard</t>
        </is>
      </c>
      <c r="G31" s="5" t="inlineStr">
        <is>
          <t>PASS</t>
        </is>
      </c>
      <c r="H31" s="4" t="inlineStr">
        <is>
          <t>Low</t>
        </is>
      </c>
      <c r="I31" s="4" t="inlineStr">
        <is>
          <t>ИСПРАВЛЕНО (F-01): redirect '/dashboard?saved=1' + клиентский SavedToast. Проверено в браузере.</t>
        </is>
      </c>
    </row>
    <row r="32">
      <c r="A32" s="4" t="inlineStr">
        <is>
          <t>TC-29</t>
        </is>
      </c>
      <c r="B32" s="4" t="inlineStr">
        <is>
          <t>Routes</t>
        </is>
      </c>
      <c r="C32" s="4" t="inlineStr">
        <is>
          <t>Лендинг доступен</t>
        </is>
      </c>
      <c r="D32" s="4" t="inlineStr">
        <is>
          <t xml:space="preserve">GET / </t>
        </is>
      </c>
      <c r="E32" s="4" t="inlineStr">
        <is>
          <t>200</t>
        </is>
      </c>
      <c r="F32" s="4" t="inlineStr">
        <is>
          <t>200</t>
        </is>
      </c>
      <c r="G32" s="5" t="inlineStr">
        <is>
          <t>PASS</t>
        </is>
      </c>
      <c r="H32" s="4" t="inlineStr">
        <is>
          <t>High</t>
        </is>
      </c>
      <c r="I32" s="4" t="inlineStr"/>
    </row>
    <row r="33">
      <c r="A33" s="4" t="inlineStr">
        <is>
          <t>TC-30</t>
        </is>
      </c>
      <c r="B33" s="4" t="inlineStr">
        <is>
          <t>Routes</t>
        </is>
      </c>
      <c r="C33" s="4" t="inlineStr">
        <is>
          <t>Кандзи-тренажёр удалён</t>
        </is>
      </c>
      <c r="D33" s="4" t="inlineStr">
        <is>
          <t>GET /kanji</t>
        </is>
      </c>
      <c r="E33" s="4" t="inlineStr">
        <is>
          <t>404</t>
        </is>
      </c>
      <c r="F33" s="4" t="inlineStr">
        <is>
          <t>404</t>
        </is>
      </c>
      <c r="G33" s="5" t="inlineStr">
        <is>
          <t>PASS</t>
        </is>
      </c>
      <c r="H33" s="4" t="inlineStr">
        <is>
          <t>High</t>
        </is>
      </c>
      <c r="I33" s="4" t="inlineStr">
        <is>
          <t>Роут удалён полностью.</t>
        </is>
      </c>
    </row>
    <row r="34">
      <c r="A34" s="4" t="inlineStr">
        <is>
          <t>TC-31</t>
        </is>
      </c>
      <c r="B34" s="4" t="inlineStr">
        <is>
          <t>Routes</t>
        </is>
      </c>
      <c r="C34" s="4" t="inlineStr">
        <is>
          <t>Protected → редирект гостя</t>
        </is>
      </c>
      <c r="D34" s="4" t="inlineStr">
        <is>
          <t>GET /dashboard,/payments,/profile без auth</t>
        </is>
      </c>
      <c r="E34" s="4" t="inlineStr">
        <is>
          <t>307→login</t>
        </is>
      </c>
      <c r="F34" s="4" t="inlineStr">
        <is>
          <t>307</t>
        </is>
      </c>
      <c r="G34" s="5" t="inlineStr">
        <is>
          <t>PASS</t>
        </is>
      </c>
      <c r="H34" s="4" t="inlineStr">
        <is>
          <t>High</t>
        </is>
      </c>
      <c r="I34" s="4" t="inlineStr">
        <is>
          <t>Все защищённые роуты редиректят.</t>
        </is>
      </c>
    </row>
    <row r="35">
      <c r="A35" s="4" t="inlineStr">
        <is>
          <t>TC-32</t>
        </is>
      </c>
      <c r="B35" s="4" t="inlineStr">
        <is>
          <t>Routes</t>
        </is>
      </c>
      <c r="C35" s="4" t="inlineStr">
        <is>
          <t>Дашборд авторизованному</t>
        </is>
      </c>
      <c r="D35" s="4" t="inlineStr">
        <is>
          <t>GET /dashboard (student2)</t>
        </is>
      </c>
      <c r="E35" s="4" t="inlineStr">
        <is>
          <t>200</t>
        </is>
      </c>
      <c r="F35" s="4" t="inlineStr">
        <is>
          <t>200</t>
        </is>
      </c>
      <c r="G35" s="5" t="inlineStr">
        <is>
          <t>PASS</t>
        </is>
      </c>
      <c r="H35" s="4" t="inlineStr">
        <is>
          <t>High</t>
        </is>
      </c>
      <c r="I35" s="4" t="inlineStr"/>
    </row>
    <row r="36">
      <c r="A36" s="4" t="inlineStr">
        <is>
          <t>TC-33</t>
        </is>
      </c>
      <c r="B36" s="4" t="inlineStr">
        <is>
          <t>Routes</t>
        </is>
      </c>
      <c r="C36" s="4" t="inlineStr">
        <is>
          <t>Навбар ЛК студента</t>
        </is>
      </c>
      <c r="D36" s="4" t="inlineStr">
        <is>
          <t>UI /dashboard</t>
        </is>
      </c>
      <c r="E36" s="4" t="inlineStr">
        <is>
          <t>только 'На сайт'+'Выйти'</t>
        </is>
      </c>
      <c r="F36" s="4" t="inlineStr">
        <is>
          <t>OK</t>
        </is>
      </c>
      <c r="G36" s="5" t="inlineStr">
        <is>
          <t>PASS</t>
        </is>
      </c>
      <c r="H36" s="4" t="inlineStr">
        <is>
          <t>Med</t>
        </is>
      </c>
      <c r="I36" s="4" t="inlineStr">
        <is>
          <t>Навигация вынесена в контент ЛК.</t>
        </is>
      </c>
    </row>
    <row r="37">
      <c r="A37" s="4" t="inlineStr">
        <is>
          <t>TC-34</t>
        </is>
      </c>
      <c r="B37" s="4" t="inlineStr">
        <is>
          <t>UI/Landing</t>
        </is>
      </c>
      <c r="C37" s="4" t="inlineStr">
        <is>
          <t>Hero CTA = 'Как это работает'</t>
        </is>
      </c>
      <c r="D37" s="4" t="inlineStr">
        <is>
          <t>Лендинг hero</t>
        </is>
      </c>
      <c r="E37" s="4" t="inlineStr">
        <is>
          <t>скролл на #how</t>
        </is>
      </c>
      <c r="F37" s="4" t="inlineStr">
        <is>
          <t>OK</t>
        </is>
      </c>
      <c r="G37" s="5" t="inlineStr">
        <is>
          <t>PASS</t>
        </is>
      </c>
      <c r="H37" s="4" t="inlineStr">
        <is>
          <t>Low</t>
        </is>
      </c>
      <c r="I37" s="4" t="inlineStr">
        <is>
          <t>Заменил 'ИИ тренажер'.</t>
        </is>
      </c>
    </row>
    <row r="38">
      <c r="A38" s="4" t="inlineStr">
        <is>
          <t>TC-35</t>
        </is>
      </c>
      <c r="B38" s="4" t="inlineStr">
        <is>
          <t>UI/Landing</t>
        </is>
      </c>
      <c r="C38" s="4" t="inlineStr">
        <is>
          <t>Instagram-кнопка</t>
        </is>
      </c>
      <c r="D38" s="4" t="inlineStr">
        <is>
          <t>CTA-секция</t>
        </is>
      </c>
      <c r="E38" s="4" t="inlineStr">
        <is>
          <t>'Instagram сообщество' → instagram.com/gojolearn</t>
        </is>
      </c>
      <c r="F38" s="4" t="inlineStr">
        <is>
          <t>OK</t>
        </is>
      </c>
      <c r="G38" s="5" t="inlineStr">
        <is>
          <t>PASS</t>
        </is>
      </c>
      <c r="H38" s="4" t="inlineStr">
        <is>
          <t>Low</t>
        </is>
      </c>
      <c r="I38" s="4" t="inlineStr"/>
    </row>
    <row r="39">
      <c r="A39" s="4" t="inlineStr">
        <is>
          <t>TC-36</t>
        </is>
      </c>
      <c r="B39" s="4" t="inlineStr">
        <is>
          <t>UI/Landing</t>
        </is>
      </c>
      <c r="C39" s="4" t="inlineStr">
        <is>
          <t>Telegram без дефиса</t>
        </is>
      </c>
      <c r="D39" s="4" t="inlineStr">
        <is>
          <t>CTA + booking-modal</t>
        </is>
      </c>
      <c r="E39" s="4" t="inlineStr">
        <is>
          <t>'Telegram сообщество'</t>
        </is>
      </c>
      <c r="F39" s="4" t="inlineStr">
        <is>
          <t>OK</t>
        </is>
      </c>
      <c r="G39" s="5" t="inlineStr">
        <is>
          <t>PASS</t>
        </is>
      </c>
      <c r="H39" s="4" t="inlineStr">
        <is>
          <t>Low</t>
        </is>
      </c>
      <c r="I39" s="4" t="inlineStr">
        <is>
          <t>Дефис убран в 2 местах.</t>
        </is>
      </c>
    </row>
    <row r="40">
      <c r="A40" s="4" t="inlineStr">
        <is>
          <t>TC-37</t>
        </is>
      </c>
      <c r="B40" s="4" t="inlineStr">
        <is>
          <t>UI/Landing</t>
        </is>
      </c>
      <c r="C40" s="4" t="inlineStr">
        <is>
          <t>Оранжевая линия перед футером убрана</t>
        </is>
      </c>
      <c r="D40" s="4" t="inlineStr">
        <is>
          <t>section-cta::after</t>
        </is>
      </c>
      <c r="E40" s="4" t="inlineStr">
        <is>
          <t>нет полоски</t>
        </is>
      </c>
      <c r="F40" s="4" t="inlineStr">
        <is>
          <t>нет</t>
        </is>
      </c>
      <c r="G40" s="5" t="inlineStr">
        <is>
          <t>PASS</t>
        </is>
      </c>
      <c r="H40" s="4" t="inlineStr">
        <is>
          <t>Low</t>
        </is>
      </c>
      <c r="I40" s="4" t="inlineStr"/>
    </row>
    <row r="41">
      <c r="A41" s="4" t="inlineStr">
        <is>
          <t>TC-38</t>
        </is>
      </c>
      <c r="B41" s="4" t="inlineStr">
        <is>
          <t>UI/Landing</t>
        </is>
      </c>
      <c r="C41" s="4" t="inlineStr">
        <is>
          <t>Фото Руслана = ~как Максим</t>
        </is>
      </c>
      <c r="D41" s="4" t="inlineStr">
        <is>
          <t>section-mission photo</t>
        </is>
      </c>
      <c r="E41" s="4" t="inlineStr">
        <is>
          <t>увеличено умеренно</t>
        </is>
      </c>
      <c r="F41" s="4" t="inlineStr">
        <is>
          <t>112x143</t>
        </is>
      </c>
      <c r="G41" s="5" t="inlineStr">
        <is>
          <t>PASS</t>
        </is>
      </c>
      <c r="H41" s="4" t="inlineStr">
        <is>
          <t>Low</t>
        </is>
      </c>
      <c r="I41" s="4" t="inlineStr">
        <is>
          <t>Итеративно подобран размер.</t>
        </is>
      </c>
    </row>
    <row r="42">
      <c r="A42" s="4" t="inlineStr">
        <is>
          <t>TC-39</t>
        </is>
      </c>
      <c r="B42" s="4" t="inlineStr">
        <is>
          <t>Security</t>
        </is>
      </c>
      <c r="C42" s="4" t="inlineStr">
        <is>
          <t>Материалы урока без auth</t>
        </is>
      </c>
      <c r="D42" s="4" t="inlineStr">
        <is>
          <t>GET /lessons/:id/materials без cookie</t>
        </is>
      </c>
      <c r="E42" s="4" t="inlineStr">
        <is>
          <t>401</t>
        </is>
      </c>
      <c r="F42" s="4" t="inlineStr">
        <is>
          <t>401</t>
        </is>
      </c>
      <c r="G42" s="5" t="inlineStr">
        <is>
          <t>PASS</t>
        </is>
      </c>
      <c r="H42" s="4" t="inlineStr">
        <is>
          <t>Med</t>
        </is>
      </c>
      <c r="I42" s="4" t="inlineStr">
        <is>
          <t>ИСПРАВЛЕНО (F-02): добавлен requireAuth + проверка брони/admin.</t>
        </is>
      </c>
    </row>
    <row r="43">
      <c r="A43" s="4" t="inlineStr">
        <is>
          <t>TC-40</t>
        </is>
      </c>
      <c r="B43" s="4" t="inlineStr">
        <is>
          <t>Security</t>
        </is>
      </c>
      <c r="C43" s="4" t="inlineStr">
        <is>
          <t>Прямой доступ к записи по Minio URL</t>
        </is>
      </c>
      <c r="D43" s="4" t="inlineStr">
        <is>
          <t>GET Minio .mp4 без auth</t>
        </is>
      </c>
      <c r="E43" s="4" t="inlineStr">
        <is>
          <t>(инфра)</t>
        </is>
      </c>
      <c r="F43" s="4" t="inlineStr">
        <is>
          <t>200</t>
        </is>
      </c>
      <c r="G43" s="6" t="inlineStr">
        <is>
          <t>WARN</t>
        </is>
      </c>
      <c r="H43" s="4" t="inlineStr">
        <is>
          <t>High</t>
        </is>
      </c>
      <c r="I43" s="4" t="inlineStr">
        <is>
          <t>App-слой закрыт (см. TC-45). Сам bucket public-read на уровне Minio — инфра-задача F-03, не код.</t>
        </is>
      </c>
    </row>
    <row r="44">
      <c r="A44" s="4" t="inlineStr">
        <is>
          <t>TC-41</t>
        </is>
      </c>
      <c r="B44" s="4" t="inlineStr">
        <is>
          <t>Security</t>
        </is>
      </c>
      <c r="C44" s="4" t="inlineStr">
        <is>
          <t>dev-login может выдать admin</t>
        </is>
      </c>
      <c r="D44" s="4" t="inlineStr">
        <is>
          <t>POST /dev-auth/dev-login role=admin</t>
        </is>
      </c>
      <c r="E44" s="4" t="inlineStr">
        <is>
          <t>gated + warning</t>
        </is>
      </c>
      <c r="F44" s="4" t="inlineStr">
        <is>
          <t>200 (dev)</t>
        </is>
      </c>
      <c r="G44" s="5" t="inlineStr">
        <is>
          <t>PASS</t>
        </is>
      </c>
      <c r="H44" s="4" t="inlineStr">
        <is>
          <t>High</t>
        </is>
      </c>
      <c r="I44" s="4" t="inlineStr">
        <is>
          <t>Митигировано (F-04): в prod гейтится + лог-warning при старте.</t>
        </is>
      </c>
    </row>
    <row r="45">
      <c r="A45" s="4" t="inlineStr">
        <is>
          <t>TC-42</t>
        </is>
      </c>
      <c r="B45" s="4" t="inlineStr">
        <is>
          <t>Security</t>
        </is>
      </c>
      <c r="C45" s="4" t="inlineStr">
        <is>
          <t>404 несуществующий урок</t>
        </is>
      </c>
      <c r="D45" s="4" t="inlineStr">
        <is>
          <t>GET /lessons/&lt;random uuid&gt;</t>
        </is>
      </c>
      <c r="E45" s="4" t="inlineStr">
        <is>
          <t>404</t>
        </is>
      </c>
      <c r="F45" s="4" t="inlineStr">
        <is>
          <t>404</t>
        </is>
      </c>
      <c r="G45" s="5" t="inlineStr">
        <is>
          <t>PASS</t>
        </is>
      </c>
      <c r="H45" s="4" t="inlineStr">
        <is>
          <t>Low</t>
        </is>
      </c>
      <c r="I45" s="4" t="inlineStr">
        <is>
          <t>Нет утечки через ошибку.</t>
        </is>
      </c>
    </row>
    <row r="46">
      <c r="A46" s="4" t="inlineStr">
        <is>
          <t>TC-43</t>
        </is>
      </c>
      <c r="B46" s="4" t="inlineStr">
        <is>
          <t>Security</t>
        </is>
      </c>
      <c r="C46" s="4" t="inlineStr">
        <is>
          <t>F-02 материалы: не забронирован → 403</t>
        </is>
      </c>
      <c r="D46" s="4" t="inlineStr">
        <is>
          <t>GET materials (student1 не booked)</t>
        </is>
      </c>
      <c r="E46" s="4" t="inlineStr">
        <is>
          <t>403</t>
        </is>
      </c>
      <c r="F46" s="4" t="inlineStr">
        <is>
          <t>403</t>
        </is>
      </c>
      <c r="G46" s="5" t="inlineStr">
        <is>
          <t>PASS</t>
        </is>
      </c>
      <c r="H46" s="4" t="inlineStr">
        <is>
          <t>Med</t>
        </is>
      </c>
      <c r="I46" s="4" t="inlineStr">
        <is>
          <t>Ре-тест фикса F-02.</t>
        </is>
      </c>
    </row>
    <row r="47">
      <c r="A47" s="4" t="inlineStr">
        <is>
          <t>TC-44</t>
        </is>
      </c>
      <c r="B47" s="4" t="inlineStr">
        <is>
          <t>Security</t>
        </is>
      </c>
      <c r="C47" s="4" t="inlineStr">
        <is>
          <t>F-02 материалы: забронирован → 200</t>
        </is>
      </c>
      <c r="D47" s="4" t="inlineStr">
        <is>
          <t>GET materials (student2 booked)</t>
        </is>
      </c>
      <c r="E47" s="4" t="inlineStr">
        <is>
          <t>200</t>
        </is>
      </c>
      <c r="F47" s="4" t="inlineStr">
        <is>
          <t>200</t>
        </is>
      </c>
      <c r="G47" s="5" t="inlineStr">
        <is>
          <t>PASS</t>
        </is>
      </c>
      <c r="H47" s="4" t="inlineStr">
        <is>
          <t>Med</t>
        </is>
      </c>
      <c r="I47" s="4" t="inlineStr">
        <is>
          <t>Легитимный доступ не сломан.</t>
        </is>
      </c>
    </row>
    <row r="48">
      <c r="A48" s="4" t="inlineStr">
        <is>
          <t>TC-45</t>
        </is>
      </c>
      <c r="B48" s="4" t="inlineStr">
        <is>
          <t>Security</t>
        </is>
      </c>
      <c r="C48" s="4" t="inlineStr">
        <is>
          <t>F-03 recordingUrl скрыт неавторизованным</t>
        </is>
      </c>
      <c r="D48" s="4" t="inlineStr">
        <is>
          <t>GET /lessons/:id (no auth / not booked)</t>
        </is>
      </c>
      <c r="E48" s="4" t="inlineStr">
        <is>
          <t>recordingUrl=null</t>
        </is>
      </c>
      <c r="F48" s="4" t="inlineStr">
        <is>
          <t>null</t>
        </is>
      </c>
      <c r="G48" s="5" t="inlineStr">
        <is>
          <t>PASS</t>
        </is>
      </c>
      <c r="H48" s="4" t="inlineStr">
        <is>
          <t>High</t>
        </is>
      </c>
      <c r="I48" s="4" t="inlineStr">
        <is>
          <t>Ре-тест F-03: гость и не-забронированный не получают URL записи.</t>
        </is>
      </c>
    </row>
    <row r="49">
      <c r="A49" s="4" t="inlineStr">
        <is>
          <t>TC-46</t>
        </is>
      </c>
      <c r="B49" s="4" t="inlineStr">
        <is>
          <t>Security</t>
        </is>
      </c>
      <c r="C49" s="4" t="inlineStr">
        <is>
          <t>F-03 recordingUrl виден booked/admin</t>
        </is>
      </c>
      <c r="D49" s="4" t="inlineStr">
        <is>
          <t>GET /lessons/:id (student2 / admin)</t>
        </is>
      </c>
      <c r="E49" s="4" t="inlineStr">
        <is>
          <t>URL present</t>
        </is>
      </c>
      <c r="F49" s="4" t="inlineStr">
        <is>
          <t>present</t>
        </is>
      </c>
      <c r="G49" s="5" t="inlineStr">
        <is>
          <t>PASS</t>
        </is>
      </c>
      <c r="H49" s="4" t="inlineStr">
        <is>
          <t>High</t>
        </is>
      </c>
      <c r="I49" s="4" t="inlineStr">
        <is>
          <t>Видео у забронированного играет (проверено в браузере).</t>
        </is>
      </c>
    </row>
  </sheetData>
  <autoFilter ref="A3:I4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" customWidth="1" min="3" max="3"/>
    <col width="14" customWidth="1" min="4" max="4"/>
    <col width="10" customWidth="1" min="5" max="5"/>
  </cols>
  <sheetData>
    <row r="1" ht="24" customHeight="1">
      <c r="A1" s="7" t="inlineStr">
        <is>
          <t>Сводка по результатам</t>
        </is>
      </c>
    </row>
    <row r="3">
      <c r="A3" s="8" t="inlineStr">
        <is>
          <t>Всего тест-кейсов</t>
        </is>
      </c>
      <c r="B3" s="9">
        <f>COUNTA('Тест-кейсы'!$G$4:$G$49)</f>
        <v/>
      </c>
      <c r="D3" s="10" t="inlineStr">
        <is>
          <t>Область</t>
        </is>
      </c>
      <c r="E3" s="10" t="inlineStr">
        <is>
          <t>Кейсов</t>
        </is>
      </c>
    </row>
    <row r="4">
      <c r="A4" s="8" t="inlineStr">
        <is>
          <t>PASS</t>
        </is>
      </c>
      <c r="B4" s="5">
        <f>COUNTIF('Тест-кейсы'!$G$4:$G$49,"PASS")</f>
        <v/>
      </c>
      <c r="D4" s="11" t="inlineStr">
        <is>
          <t>Auth</t>
        </is>
      </c>
      <c r="E4" s="9">
        <f>COUNTIF('Тест-кейсы'!$B$4:$B$49,"Auth*")</f>
        <v/>
      </c>
    </row>
    <row r="5">
      <c r="A5" s="8" t="inlineStr">
        <is>
          <t>FAIL</t>
        </is>
      </c>
      <c r="B5" s="12">
        <f>COUNTIF('Тест-кейсы'!$G$4:$G$49,"FAIL")</f>
        <v/>
      </c>
      <c r="D5" s="11" t="inlineStr">
        <is>
          <t>Roles</t>
        </is>
      </c>
      <c r="E5" s="9">
        <f>COUNTIF('Тест-кейсы'!$B$4:$B$49,"Roles*")</f>
        <v/>
      </c>
    </row>
    <row r="6">
      <c r="A6" s="8" t="inlineStr">
        <is>
          <t>PARTIAL</t>
        </is>
      </c>
      <c r="B6" s="6">
        <f>COUNTIF('Тест-кейсы'!$G$4:$G$49,"PARTIAL")</f>
        <v/>
      </c>
      <c r="D6" s="11" t="inlineStr">
        <is>
          <t>Payments</t>
        </is>
      </c>
      <c r="E6" s="9">
        <f>COUNTIF('Тест-кейсы'!$B$4:$B$49,"Payments*")</f>
        <v/>
      </c>
    </row>
    <row r="7">
      <c r="A7" s="8" t="inlineStr">
        <is>
          <t>WARN</t>
        </is>
      </c>
      <c r="B7" s="6">
        <f>COUNTIF('Тест-кейсы'!$G$4:$G$49,"WARN")</f>
        <v/>
      </c>
      <c r="D7" s="11" t="inlineStr">
        <is>
          <t>Library</t>
        </is>
      </c>
      <c r="E7" s="9">
        <f>COUNTIF('Тест-кейсы'!$B$4:$B$49,"Library*")</f>
        <v/>
      </c>
    </row>
    <row r="8">
      <c r="A8" s="8" t="inlineStr">
        <is>
          <t>% PASS</t>
        </is>
      </c>
      <c r="B8" s="13">
        <f>COUNTIF('Тест-кейсы'!$G$4:$G$49,"PASS")/COUNTA('Тест-кейсы'!$G$4:$G$49)</f>
        <v/>
      </c>
      <c r="D8" s="11" t="inlineStr">
        <is>
          <t>Profile</t>
        </is>
      </c>
      <c r="E8" s="9">
        <f>COUNTIF('Тест-кейсы'!$B$4:$B$49,"Profile*")</f>
        <v/>
      </c>
    </row>
    <row r="9">
      <c r="D9" s="11" t="inlineStr">
        <is>
          <t>Routes</t>
        </is>
      </c>
      <c r="E9" s="9">
        <f>COUNTIF('Тест-кейсы'!$B$4:$B$49,"Routes*")</f>
        <v/>
      </c>
    </row>
    <row r="10">
      <c r="D10" s="11" t="inlineStr">
        <is>
          <t>UI/Landing</t>
        </is>
      </c>
      <c r="E10" s="9">
        <f>COUNTIF('Тест-кейсы'!$B$4:$B$49,"UI/Landing*")</f>
        <v/>
      </c>
    </row>
    <row r="11">
      <c r="A11" s="14" t="inlineStr">
        <is>
          <t>Вердикт: релиз готов. F-01/F-02/F-04 исправлены и перепроверены; F-03 закрыт на уровне приложения (recordingUrl гейтится), приватность Minio-bucket — отдельная инфра-задача. Блокеров нет.</t>
        </is>
      </c>
      <c r="B11" s="15" t="n"/>
      <c r="C11" s="15" t="n"/>
      <c r="D11" s="15" t="n"/>
      <c r="E11" s="16" t="n"/>
    </row>
  </sheetData>
  <mergeCells count="2">
    <mergeCell ref="A1:C1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52" customWidth="1" min="4" max="4"/>
    <col width="46" customWidth="1" min="5" max="5"/>
    <col width="24" customWidth="1" min="6" max="6"/>
  </cols>
  <sheetData>
    <row r="1" ht="24" customHeight="1">
      <c r="A1" s="7" t="inlineStr">
        <is>
          <t>Замечания и рекомендации</t>
        </is>
      </c>
    </row>
    <row r="3">
      <c r="A3" s="3" t="inlineStr">
        <is>
          <t>ID</t>
        </is>
      </c>
      <c r="B3" s="3" t="inlineStr">
        <is>
          <t>Severity</t>
        </is>
      </c>
      <c r="C3" s="3" t="inlineStr">
        <is>
          <t>Заголовок</t>
        </is>
      </c>
      <c r="D3" s="3" t="inlineStr">
        <is>
          <t>Описание</t>
        </is>
      </c>
      <c r="E3" s="3" t="inlineStr">
        <is>
          <t>Рекомендация</t>
        </is>
      </c>
      <c r="F3" s="3" t="inlineStr">
        <is>
          <t>Статус</t>
        </is>
      </c>
    </row>
    <row r="4">
      <c r="A4" s="4" t="inlineStr">
        <is>
          <t>F-01</t>
        </is>
      </c>
      <c r="B4" s="17" t="inlineStr">
        <is>
          <t>Low (регресс)</t>
        </is>
      </c>
      <c r="C4" s="4" t="inlineStr">
        <is>
          <t>Тост 'Профиль сохранён' не показывается</t>
        </is>
      </c>
      <c r="D4" s="4" t="inlineStr">
        <is>
          <t>После добавления redirect('/dashboard') в updateProfileAction экшен больше не возвращал {ok:true}, поэтому useEffect с toast.success был мёртв.</t>
        </is>
      </c>
      <c r="E4" s="4" t="inlineStr">
        <is>
          <t>redirect('/dashboard?saved=1') + клиентский компонент SavedToast на дашборде, который показывает тост и чистит URL.</t>
        </is>
      </c>
      <c r="F4" s="18" t="inlineStr">
        <is>
          <t>ИСПРАВЛЕНО ✓ (проверено в браузере)</t>
        </is>
      </c>
    </row>
    <row r="5">
      <c r="A5" s="4" t="inlineStr">
        <is>
          <t>F-02</t>
        </is>
      </c>
      <c r="B5" s="17" t="inlineStr">
        <is>
          <t>Medium</t>
        </is>
      </c>
      <c r="C5" s="4" t="inlineStr">
        <is>
          <t>GET /lessons/:id/materials открыт без авторизации</t>
        </is>
      </c>
      <c r="D5" s="4" t="inlineStr">
        <is>
          <t>Эндпоинт материалов урока отдавал список с прямыми fileUrl любому без сессии. Утечка ссылок на приватные материалы. Пред-существующее.</t>
        </is>
      </c>
      <c r="E5" s="4" t="inlineStr">
        <is>
          <t>Добавлен requireAuth + hasLessonContentAccess (admin / владелец урока / забронированный студент).</t>
        </is>
      </c>
      <c r="F5" s="18" t="inlineStr">
        <is>
          <t>ИСПРАВЛЕНО ✓ (401/403/200 по ролям)</t>
        </is>
      </c>
    </row>
    <row r="6">
      <c r="A6" s="4" t="inlineStr">
        <is>
          <t>F-03</t>
        </is>
      </c>
      <c r="B6" s="19" t="inlineStr">
        <is>
          <t>High</t>
        </is>
      </c>
      <c r="C6" s="4" t="inlineStr">
        <is>
          <t>recordingUrl раздавался неавторизованным + bucket public-read</t>
        </is>
      </c>
      <c r="D6" s="4" t="inlineStr">
        <is>
          <t>App: GET /lessons/:id возвращал recordingUrl любому. Инфра: сам файл в Minio (gojo-dev) world-readable по прямому URL.</t>
        </is>
      </c>
      <c r="E6" s="4" t="inlineStr">
        <is>
          <t>APP-СЛОЙ ИСПРАВЛЕН: recordingUrl теперь отдаётся только booked/owner/admin (иначе null). ИНФРА-ЗАДАЧА (остаётся): сделать bucket/prefix materials приватным + presigned URL; avatars/ оставить public. Не сделано в этой сессии сознательно — ломает рендер аватаров и требует настройки подписи за Caddy-прокси в prod.</t>
        </is>
      </c>
      <c r="F6" s="17" t="inlineStr">
        <is>
          <t>ЧАСТИЧНО: app ✓, инфра — TODO</t>
        </is>
      </c>
    </row>
    <row r="7">
      <c r="A7" s="4" t="inlineStr">
        <is>
          <t>F-04</t>
        </is>
      </c>
      <c r="B7" s="17" t="inlineStr">
        <is>
          <t>Medium</t>
        </is>
      </c>
      <c r="C7" s="4" t="inlineStr">
        <is>
          <t>dev-login может выдать admin-сессию</t>
        </is>
      </c>
      <c r="D7" s="4" t="inlineStr">
        <is>
          <t>POST /dev-auth/dev-login role=admin создаёт админа. Гейтится NODE_ENV===production &amp;&amp; !ALLOW_DEV_LOGIN.</t>
        </is>
      </c>
      <c r="E7" s="4" t="inlineStr">
        <is>
          <t>Добавлен лог-warning при старте API, если NODE_ENV=production и ALLOW_DEV_LOGIN=true.</t>
        </is>
      </c>
      <c r="F7" s="18" t="inlineStr">
        <is>
          <t>ИСПРАВЛЕНО ✓ (warning добавлен)</t>
        </is>
      </c>
    </row>
    <row r="8">
      <c r="A8" s="4" t="inlineStr">
        <is>
          <t>F-05</t>
        </is>
      </c>
      <c r="B8" s="20" t="inlineStr">
        <is>
          <t>Info</t>
        </is>
      </c>
      <c r="C8" s="4" t="inlineStr">
        <is>
          <t>Порядок проверок в checkout</t>
        </is>
      </c>
      <c r="D8" s="4" t="inlineStr">
        <is>
          <t>В /payments/checkout проверка yookassaConfigured() (503) идёт РАНЬШЕ проверки соответствия плана (403). С кредами 403 подтверждён ранее.</t>
        </is>
      </c>
      <c r="E8" s="4" t="inlineStr">
        <is>
          <t>Не баг. Опционально: поставить проверку плана перед проверкой провайдера.</t>
        </is>
      </c>
      <c r="F8" s="4" t="inlineStr">
        <is>
          <t>НЕ ТРЕБУЕТ ДЕЙСТВИЙ</t>
        </is>
      </c>
    </row>
    <row r="9">
      <c r="A9" s="4" t="inlineStr">
        <is>
          <t>F-06</t>
        </is>
      </c>
      <c r="B9" s="20" t="inlineStr">
        <is>
          <t>Info</t>
        </is>
      </c>
      <c r="C9" s="4" t="inlineStr">
        <is>
          <t>Тестовые данные в БД</t>
        </is>
      </c>
      <c r="D9" s="4" t="inlineStr">
        <is>
          <t>Создан урок 'Тестовая запись урока — N5' + бронь student2 + hero.mp4 как запись. Аккаунт provisioned.test@ имеет случайный пароль.</t>
        </is>
      </c>
      <c r="E9" s="4" t="inlineStr">
        <is>
          <t>Перед прод-деплоем прогнать чистую миграцию на пустой БД; тестовые сиды не коммитить.</t>
        </is>
      </c>
      <c r="F9" s="4" t="inlineStr">
        <is>
          <t>К СВЕДЕНИЮ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2026-07-10T16:42:32Z</dcterms:created>
  <dcterms:modified xsi:type="dcterms:W3CDTF">2026-07-10T16:42:32Z</dcterms:modified>
</cp:coreProperties>
</file>